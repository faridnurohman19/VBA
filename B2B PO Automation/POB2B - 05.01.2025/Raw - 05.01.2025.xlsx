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lazada\Documents\Farid\Resume\Portfolio\VBA\B2B PO Automation\POB2B - 05.01.2025\"/>
    </mc:Choice>
  </mc:AlternateContent>
  <xr:revisionPtr revIDLastSave="0" documentId="8_{35DA18DD-42F7-41EE-9CD9-1C7B7099DEC7}" xr6:coauthVersionLast="47" xr6:coauthVersionMax="47" xr10:uidLastSave="{00000000-0000-0000-0000-000000000000}"/>
  <bookViews>
    <workbookView xWindow="-108" yWindow="-108" windowWidth="23256" windowHeight="14016" activeTab="1" xr2:uid="{1A8EC584-1A53-4D7C-B2D4-B5292CF9A984}"/>
  </bookViews>
  <sheets>
    <sheet name="PO File" sheetId="5" r:id="rId1"/>
    <sheet name="Raw" sheetId="1" r:id="rId2"/>
    <sheet name="Ful SKU" sheetId="4" r:id="rId3"/>
  </sheets>
  <definedNames>
    <definedName name="_xlnm._FilterDatabase" localSheetId="2" hidden="1">'Ful SKU'!$A$1:$H$14</definedName>
    <definedName name="_xlnm._FilterDatabase" localSheetId="0" hidden="1">'PO File'!$A$1:$N$11</definedName>
    <definedName name="_xlnm._FilterDatabase" localSheetId="1" hidden="1">Raw!$A$1:$Q$1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P11" i="1" l="1"/>
  <c r="Q11" i="1" s="1"/>
  <c r="O11" i="1"/>
  <c r="P10" i="1"/>
  <c r="Q10" i="1" s="1"/>
  <c r="O10" i="1"/>
  <c r="P9" i="1"/>
  <c r="Q9" i="1" s="1"/>
  <c r="O9" i="1"/>
  <c r="P8" i="1"/>
  <c r="Q8" i="1" s="1"/>
  <c r="O8" i="1"/>
  <c r="P7" i="1"/>
  <c r="Q7" i="1" s="1"/>
  <c r="O7" i="1"/>
  <c r="P6" i="1"/>
  <c r="Q6" i="1" s="1"/>
  <c r="O6" i="1"/>
  <c r="P5" i="1"/>
  <c r="Q5" i="1" s="1"/>
  <c r="O5" i="1"/>
  <c r="P4" i="1"/>
  <c r="Q4" i="1" s="1"/>
  <c r="O4" i="1"/>
  <c r="P3" i="1"/>
  <c r="Q3" i="1" s="1"/>
  <c r="O3" i="1"/>
  <c r="O2" i="1"/>
  <c r="P2" i="1"/>
  <c r="A2" i="4"/>
  <c r="G2" i="4" s="1"/>
  <c r="A3" i="4"/>
  <c r="G3" i="4" s="1"/>
  <c r="A9" i="4"/>
  <c r="G9" i="4" s="1"/>
  <c r="A10" i="4"/>
  <c r="G10" i="4" s="1"/>
  <c r="A4" i="4"/>
  <c r="G4" i="4" s="1"/>
  <c r="A5" i="4"/>
  <c r="G5" i="4" s="1"/>
  <c r="A11" i="4"/>
  <c r="G11" i="4" s="1"/>
  <c r="A6" i="4"/>
  <c r="G6" i="4" s="1"/>
  <c r="A7" i="4"/>
  <c r="G7" i="4" s="1"/>
  <c r="A12" i="4"/>
  <c r="A8" i="4"/>
  <c r="G8" i="4" s="1"/>
  <c r="A13" i="4"/>
  <c r="G13" i="4" s="1"/>
  <c r="A14" i="4"/>
  <c r="F12" i="4"/>
  <c r="G12" i="4"/>
  <c r="H12" i="4"/>
  <c r="F8" i="4"/>
  <c r="H8" i="4"/>
  <c r="F13" i="4"/>
  <c r="H13" i="4"/>
  <c r="F14" i="4"/>
  <c r="G14" i="4"/>
  <c r="H14" i="4"/>
  <c r="F7" i="4"/>
  <c r="F6" i="4"/>
  <c r="F5" i="4"/>
  <c r="F4" i="4"/>
  <c r="F3" i="4"/>
  <c r="H2" i="4"/>
  <c r="H3" i="4"/>
  <c r="H9" i="4"/>
  <c r="H10" i="4"/>
  <c r="H4" i="4"/>
  <c r="H5" i="4"/>
  <c r="H11" i="4"/>
  <c r="H6" i="4"/>
  <c r="H7" i="4"/>
  <c r="F2" i="4"/>
  <c r="F9" i="4"/>
  <c r="F10" i="4"/>
  <c r="F11" i="4"/>
  <c r="Q2" i="1" l="1"/>
</calcChain>
</file>

<file path=xl/sharedStrings.xml><?xml version="1.0" encoding="utf-8"?>
<sst xmlns="http://schemas.openxmlformats.org/spreadsheetml/2006/main" count="230" uniqueCount="87">
  <si>
    <t>No</t>
  </si>
  <si>
    <t>Account</t>
  </si>
  <si>
    <t>Store Name</t>
  </si>
  <si>
    <t>No.PO</t>
  </si>
  <si>
    <t>PO Date</t>
  </si>
  <si>
    <t>PO Expired</t>
  </si>
  <si>
    <t>Delivery Date</t>
  </si>
  <si>
    <t>Barcode</t>
  </si>
  <si>
    <t>Brand</t>
  </si>
  <si>
    <t>Product Description</t>
  </si>
  <si>
    <t>Order Qty (Ctn)</t>
  </si>
  <si>
    <t>Delivery Qty (Ctn)</t>
  </si>
  <si>
    <t>Last Arrival Time</t>
  </si>
  <si>
    <t>PIC</t>
  </si>
  <si>
    <t>Qty</t>
  </si>
  <si>
    <t>Fulfilment SKU</t>
  </si>
  <si>
    <t>WH Length  (cm)</t>
  </si>
  <si>
    <t>WH Height (cm)</t>
  </si>
  <si>
    <t>WH Width (cm)</t>
  </si>
  <si>
    <t>53.0</t>
  </si>
  <si>
    <t>27.5</t>
  </si>
  <si>
    <t>45.0</t>
  </si>
  <si>
    <t>Fulfillment SKU</t>
  </si>
  <si>
    <t>Barcode 2</t>
  </si>
  <si>
    <t>CBM</t>
  </si>
  <si>
    <t>120.0</t>
  </si>
  <si>
    <t>15.0</t>
  </si>
  <si>
    <t>100.0</t>
  </si>
  <si>
    <t>Account 1</t>
  </si>
  <si>
    <t>Account 2</t>
  </si>
  <si>
    <t>Account 3</t>
  </si>
  <si>
    <t>Account 4</t>
  </si>
  <si>
    <t>Account 5</t>
  </si>
  <si>
    <t>Store A</t>
  </si>
  <si>
    <t>Store B</t>
  </si>
  <si>
    <t>112012031</t>
  </si>
  <si>
    <t>112012032</t>
  </si>
  <si>
    <t>112012037</t>
  </si>
  <si>
    <t>112012043</t>
  </si>
  <si>
    <t>112012048</t>
  </si>
  <si>
    <t>112012050</t>
  </si>
  <si>
    <t>112012055</t>
  </si>
  <si>
    <t>112012057</t>
  </si>
  <si>
    <t>112012058</t>
  </si>
  <si>
    <t>112012062</t>
  </si>
  <si>
    <t>112012066</t>
  </si>
  <si>
    <t>112012069</t>
  </si>
  <si>
    <t>112012073</t>
  </si>
  <si>
    <t>Account 6</t>
  </si>
  <si>
    <t>Account 7</t>
  </si>
  <si>
    <t>Account 8</t>
  </si>
  <si>
    <t>Account 9</t>
  </si>
  <si>
    <t>Store C</t>
  </si>
  <si>
    <t>Store D</t>
  </si>
  <si>
    <t>Store E</t>
  </si>
  <si>
    <t>Store F</t>
  </si>
  <si>
    <t>Store G</t>
  </si>
  <si>
    <t>Store H</t>
  </si>
  <si>
    <t>Store I</t>
  </si>
  <si>
    <t>Store J</t>
  </si>
  <si>
    <t>PO111234</t>
  </si>
  <si>
    <t>PO111236</t>
  </si>
  <si>
    <t>PO111237</t>
  </si>
  <si>
    <t>PO111238</t>
  </si>
  <si>
    <t>PO111239</t>
  </si>
  <si>
    <t>PO111240</t>
  </si>
  <si>
    <t>PO111241</t>
  </si>
  <si>
    <t>PO111242</t>
  </si>
  <si>
    <t>PO111243</t>
  </si>
  <si>
    <t>Brand A</t>
  </si>
  <si>
    <t>Brand B</t>
  </si>
  <si>
    <t>Brand C</t>
  </si>
  <si>
    <t>Brand D</t>
  </si>
  <si>
    <t>Snack bar protein 120 pack - 112012031</t>
  </si>
  <si>
    <t>Snack bar protein 120 pack - 112012032</t>
  </si>
  <si>
    <t>Snack bar protein 120 pack - 112012033</t>
  </si>
  <si>
    <t>Snack bar protein 120 pack - 112012034</t>
  </si>
  <si>
    <t>John Smith</t>
  </si>
  <si>
    <t>Emily Johnson</t>
  </si>
  <si>
    <t>Michael Brown</t>
  </si>
  <si>
    <t>Sarah Davis</t>
  </si>
  <si>
    <t>David Wilson</t>
  </si>
  <si>
    <t>Jessica Martinez</t>
  </si>
  <si>
    <t>Robert Taylor</t>
  </si>
  <si>
    <t>Amanda Anderson</t>
  </si>
  <si>
    <t>Daniel Thomas</t>
  </si>
  <si>
    <t>Laura Garcia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</si>
</sst>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7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4"/>
      <color rgb="FF000000"/>
      <name val="Aptos Narrow"/>
    </font>
    <font>
      <sz val="11"/>
      <color theme="1"/>
      <name val="Aptos Narrow"/>
      <family val="2"/>
      <scheme val="minor"/>
    </font>
    <font>
      <sz val="11"/>
      <color indexed="8"/>
      <name val="Aptos Narrow"/>
      <family val="2"/>
      <scheme val="minor"/>
    </font>
    <font>
      <sz val="12"/>
      <name val="宋体"/>
      <family val="3"/>
      <charset val="134"/>
    </font>
    <font>
      <sz val="8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</borders>
  <cellStyleXfs count="4">
    <xf numFmtId="0" fontId="0" fillId="0" borderId="0"/>
    <xf numFmtId="0" fontId="4" fillId="0" borderId="0"/>
    <xf numFmtId="0" fontId="5" fillId="0" borderId="0">
      <alignment vertical="center"/>
    </xf>
    <xf numFmtId="0" fontId="3" fillId="0" borderId="0"/>
  </cellStyleXfs>
  <cellXfs count="17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/>
    </xf>
    <xf numFmtId="0" fontId="0" fillId="3" borderId="0" xfId="0" applyFill="1"/>
    <xf numFmtId="0" fontId="1" fillId="3" borderId="2" xfId="0" applyFont="1" applyFill="1" applyBorder="1" applyAlignment="1">
      <alignment horizontal="center"/>
    </xf>
    <xf numFmtId="0" fontId="0" fillId="0" borderId="0" xfId="0" applyBorder="1" applyAlignment="1">
      <alignment vertical="center"/>
    </xf>
    <xf numFmtId="49" fontId="0" fillId="0" borderId="0" xfId="0" applyNumberFormat="1"/>
    <xf numFmtId="14" fontId="0" fillId="0" borderId="0" xfId="0" applyNumberFormat="1" applyBorder="1" applyAlignment="1">
      <alignment vertical="center"/>
    </xf>
    <xf numFmtId="14" fontId="0" fillId="0" borderId="0" xfId="0" applyNumberFormat="1"/>
    <xf numFmtId="0" fontId="0" fillId="0" borderId="0" xfId="0" applyNumberFormat="1"/>
    <xf numFmtId="49" fontId="0" fillId="3" borderId="0" xfId="0" applyNumberFormat="1" applyFill="1"/>
    <xf numFmtId="164" fontId="0" fillId="3" borderId="0" xfId="0" applyNumberFormat="1" applyFill="1"/>
    <xf numFmtId="0" fontId="0" fillId="0" borderId="0" xfId="0" applyAlignment="1"/>
    <xf numFmtId="20" fontId="0" fillId="0" borderId="0" xfId="0" applyNumberFormat="1"/>
    <xf numFmtId="20" fontId="0" fillId="0" borderId="0" xfId="0" applyNumberFormat="1" applyBorder="1" applyAlignment="1">
      <alignment vertical="center"/>
    </xf>
    <xf numFmtId="0" fontId="0" fillId="0" borderId="3" xfId="0" applyBorder="1" applyAlignment="1">
      <alignment vertical="center"/>
    </xf>
    <xf numFmtId="0" fontId="0" fillId="0" borderId="0" xfId="0" applyAlignment="1">
      <alignment vertical="center"/>
    </xf>
  </cellXfs>
  <cellStyles count="4">
    <cellStyle name="Normal" xfId="0" builtinId="0"/>
    <cellStyle name="Normal 2" xfId="1" xr:uid="{224992C6-5B4F-4ACF-8867-A16A3AB13763}"/>
    <cellStyle name="RowLevel_8" xfId="3" xr:uid="{CD99F0EE-E54E-4BAB-B8F3-A5E7A4268A80}"/>
    <cellStyle name="常规 4" xfId="2" xr:uid="{C66530B4-395B-4FE2-BAB3-E8548F012D8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trlProps/ctrlProp1.xml><?xml version="1.0" encoding="utf-8"?>
<formControlPr xmlns="http://schemas.microsoft.com/office/spreadsheetml/2009/9/main" objectType="Button" lockText="1"/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19</xdr:col>
          <xdr:colOff>7620</xdr:colOff>
          <xdr:row>2</xdr:row>
          <xdr:rowOff>0</xdr:rowOff>
        </xdr:from>
        <xdr:to>
          <xdr:col>23</xdr:col>
          <xdr:colOff>7620</xdr:colOff>
          <xdr:row>8</xdr:row>
          <xdr:rowOff>0</xdr:rowOff>
        </xdr:to>
        <xdr:sp macro="" textlink="">
          <xdr:nvSpPr>
            <xdr:cNvPr id="1026" name="Button 2" hidden="1">
              <a:extLst>
                <a:ext uri="{63B3BB69-23CF-44E3-9099-C40C66FF867C}">
                  <a14:compatExt spid="_x0000_s1026"/>
                </a:ext>
                <a:ext uri="{FF2B5EF4-FFF2-40B4-BE49-F238E27FC236}">
                  <a16:creationId xmlns:a16="http://schemas.microsoft.com/office/drawing/2014/main" id="{00000000-0008-0000-0100-00000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45720" tIns="32004" rIns="45720" bIns="32004" anchor="ctr" upright="1"/>
            <a:lstStyle/>
            <a:p>
              <a:pPr algn="ctr" rtl="0">
                <a:defRPr sz="1000"/>
              </a:pPr>
              <a:r>
                <a:rPr lang="en-US" sz="1400" b="0" i="0" u="none" strike="noStrike" baseline="0">
                  <a:solidFill>
                    <a:srgbClr val="000000"/>
                  </a:solidFill>
                  <a:latin typeface="Aptos Narrow"/>
                </a:rPr>
                <a:t>Run </a:t>
              </a:r>
            </a:p>
            <a:p>
              <a:pPr algn="ctr" rtl="0">
                <a:defRPr sz="1000"/>
              </a:pPr>
              <a:r>
                <a:rPr lang="en-US" sz="1400" b="0" i="0" u="none" strike="noStrike" baseline="0">
                  <a:solidFill>
                    <a:srgbClr val="000000"/>
                  </a:solidFill>
                  <a:latin typeface="Aptos Narrow"/>
                </a:rPr>
                <a:t>PO B2B Automation</a:t>
              </a:r>
            </a:p>
          </xdr:txBody>
        </xdr:sp>
        <xdr:clientData fPrintsWithSheet="0"/>
      </xdr:twoCellAnchor>
    </mc:Choice>
    <mc:Fallback/>
  </mc:AlternateContent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trlProp" Target="../ctrlProps/ctrlProp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637E80-FC56-489D-B1E6-F3015109FD4A}">
  <sheetPr codeName="Sheet3"/>
  <dimension ref="A1:N11"/>
  <sheetViews>
    <sheetView zoomScaleNormal="100" workbookViewId="0">
      <selection activeCell="E17" sqref="E17"/>
    </sheetView>
  </sheetViews>
  <sheetFormatPr defaultRowHeight="13.8"/>
  <cols>
    <col min="1" max="1" width="3.296875" bestFit="1" customWidth="1"/>
    <col min="2" max="2" width="8.796875" bestFit="1" customWidth="1"/>
    <col min="3" max="3" width="11.19921875" bestFit="1" customWidth="1"/>
    <col min="4" max="4" width="10.3984375" bestFit="1" customWidth="1"/>
    <col min="5" max="5" width="8" bestFit="1" customWidth="1"/>
    <col min="6" max="6" width="10.796875" bestFit="1" customWidth="1"/>
    <col min="7" max="7" width="12.796875" bestFit="1" customWidth="1"/>
    <col min="8" max="8" width="10.09765625" bestFit="1" customWidth="1"/>
    <col min="9" max="9" width="12.19921875" bestFit="1" customWidth="1"/>
    <col min="10" max="10" width="34" bestFit="1" customWidth="1"/>
    <col min="11" max="11" width="14.296875" bestFit="1" customWidth="1"/>
    <col min="12" max="12" width="16.69921875" bestFit="1" customWidth="1"/>
    <col min="13" max="13" width="15.8984375" bestFit="1" customWidth="1"/>
    <col min="14" max="14" width="11.09765625" customWidth="1"/>
  </cols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8</v>
      </c>
      <c r="I1" s="1" t="s">
        <v>7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</row>
    <row r="2" spans="1:14">
      <c r="A2" s="15">
        <v>1</v>
      </c>
      <c r="B2" s="15" t="s">
        <v>28</v>
      </c>
      <c r="C2" s="12" t="s">
        <v>33</v>
      </c>
      <c r="D2" t="s">
        <v>60</v>
      </c>
      <c r="E2" s="8">
        <v>45778</v>
      </c>
      <c r="F2" s="8">
        <v>45785</v>
      </c>
      <c r="G2" s="8">
        <v>45781</v>
      </c>
      <c r="H2" t="s">
        <v>69</v>
      </c>
      <c r="I2" t="s">
        <v>35</v>
      </c>
      <c r="J2" t="s">
        <v>73</v>
      </c>
      <c r="K2">
        <v>2</v>
      </c>
      <c r="L2">
        <v>2</v>
      </c>
      <c r="M2" s="13">
        <v>0.66666666666666663</v>
      </c>
      <c r="N2" t="s">
        <v>77</v>
      </c>
    </row>
    <row r="3" spans="1:14">
      <c r="A3" s="16"/>
      <c r="B3" s="16"/>
      <c r="C3" s="12" t="s">
        <v>34</v>
      </c>
      <c r="D3" t="s">
        <v>60</v>
      </c>
      <c r="E3" s="8">
        <v>45778</v>
      </c>
      <c r="F3" s="8">
        <v>45785</v>
      </c>
      <c r="G3" s="8">
        <v>45781</v>
      </c>
      <c r="H3" t="s">
        <v>70</v>
      </c>
      <c r="I3" t="s">
        <v>36</v>
      </c>
      <c r="J3" t="s">
        <v>74</v>
      </c>
      <c r="K3">
        <v>1</v>
      </c>
      <c r="L3">
        <v>1</v>
      </c>
      <c r="M3" s="13">
        <v>0.66666666666666663</v>
      </c>
      <c r="N3" t="s">
        <v>78</v>
      </c>
    </row>
    <row r="4" spans="1:14">
      <c r="A4" s="12">
        <v>2</v>
      </c>
      <c r="B4" s="12" t="s">
        <v>29</v>
      </c>
      <c r="C4" s="12" t="s">
        <v>52</v>
      </c>
      <c r="D4" t="s">
        <v>61</v>
      </c>
      <c r="E4" s="8">
        <v>45778</v>
      </c>
      <c r="F4" s="8">
        <v>45785</v>
      </c>
      <c r="G4" s="8">
        <v>45781</v>
      </c>
      <c r="H4" t="s">
        <v>71</v>
      </c>
      <c r="I4" t="s">
        <v>37</v>
      </c>
      <c r="J4" t="s">
        <v>75</v>
      </c>
      <c r="K4">
        <v>2</v>
      </c>
      <c r="L4">
        <v>2</v>
      </c>
      <c r="M4" s="13">
        <v>0.66666666666666663</v>
      </c>
      <c r="N4" t="s">
        <v>79</v>
      </c>
    </row>
    <row r="5" spans="1:14">
      <c r="A5" s="12">
        <v>3</v>
      </c>
      <c r="B5" s="12" t="s">
        <v>30</v>
      </c>
      <c r="C5" s="12" t="s">
        <v>53</v>
      </c>
      <c r="D5" t="s">
        <v>62</v>
      </c>
      <c r="E5" s="8">
        <v>45778</v>
      </c>
      <c r="F5" s="8">
        <v>45785</v>
      </c>
      <c r="G5" s="8">
        <v>45781</v>
      </c>
      <c r="H5" t="s">
        <v>72</v>
      </c>
      <c r="I5" t="s">
        <v>47</v>
      </c>
      <c r="J5" t="s">
        <v>76</v>
      </c>
      <c r="K5">
        <v>3</v>
      </c>
      <c r="L5">
        <v>3</v>
      </c>
      <c r="M5" s="13">
        <v>0.66666666666666663</v>
      </c>
      <c r="N5" t="s">
        <v>80</v>
      </c>
    </row>
    <row r="6" spans="1:14">
      <c r="A6" s="12">
        <v>4</v>
      </c>
      <c r="B6" s="12" t="s">
        <v>31</v>
      </c>
      <c r="C6" s="12" t="s">
        <v>54</v>
      </c>
      <c r="D6" t="s">
        <v>63</v>
      </c>
      <c r="E6" s="8">
        <v>45778</v>
      </c>
      <c r="F6" s="8">
        <v>45785</v>
      </c>
      <c r="G6" s="8">
        <v>45781</v>
      </c>
      <c r="H6" t="s">
        <v>69</v>
      </c>
      <c r="I6" t="s">
        <v>35</v>
      </c>
      <c r="J6" t="s">
        <v>73</v>
      </c>
      <c r="K6">
        <v>1</v>
      </c>
      <c r="L6">
        <v>1</v>
      </c>
      <c r="M6" s="13">
        <v>0.66666666666666663</v>
      </c>
      <c r="N6" t="s">
        <v>81</v>
      </c>
    </row>
    <row r="7" spans="1:14">
      <c r="A7" s="12">
        <v>5</v>
      </c>
      <c r="B7" s="12" t="s">
        <v>32</v>
      </c>
      <c r="C7" s="12" t="s">
        <v>55</v>
      </c>
      <c r="D7" t="s">
        <v>64</v>
      </c>
      <c r="E7" s="8">
        <v>45778</v>
      </c>
      <c r="F7" s="8">
        <v>45785</v>
      </c>
      <c r="G7" s="8">
        <v>45781</v>
      </c>
      <c r="H7" t="s">
        <v>70</v>
      </c>
      <c r="I7" t="s">
        <v>36</v>
      </c>
      <c r="J7" t="s">
        <v>74</v>
      </c>
      <c r="K7">
        <v>2</v>
      </c>
      <c r="L7">
        <v>2</v>
      </c>
      <c r="M7" s="13">
        <v>0.66666666666666663</v>
      </c>
      <c r="N7" t="s">
        <v>82</v>
      </c>
    </row>
    <row r="8" spans="1:14">
      <c r="A8" s="12">
        <v>6</v>
      </c>
      <c r="B8" s="12" t="s">
        <v>48</v>
      </c>
      <c r="C8" s="12" t="s">
        <v>56</v>
      </c>
      <c r="D8" t="s">
        <v>65</v>
      </c>
      <c r="E8" s="8">
        <v>45778</v>
      </c>
      <c r="F8" s="8">
        <v>45785</v>
      </c>
      <c r="G8" s="8">
        <v>45781</v>
      </c>
      <c r="H8" t="s">
        <v>71</v>
      </c>
      <c r="I8" t="s">
        <v>37</v>
      </c>
      <c r="J8" t="s">
        <v>75</v>
      </c>
      <c r="K8">
        <v>2</v>
      </c>
      <c r="L8">
        <v>2</v>
      </c>
      <c r="M8" s="13">
        <v>0.66666666666666663</v>
      </c>
      <c r="N8" t="s">
        <v>83</v>
      </c>
    </row>
    <row r="9" spans="1:14">
      <c r="A9" s="12">
        <v>7</v>
      </c>
      <c r="B9" s="12" t="s">
        <v>49</v>
      </c>
      <c r="C9" s="12" t="s">
        <v>57</v>
      </c>
      <c r="D9" t="s">
        <v>66</v>
      </c>
      <c r="E9" s="8">
        <v>45778</v>
      </c>
      <c r="F9" s="8">
        <v>45785</v>
      </c>
      <c r="G9" s="8">
        <v>45781</v>
      </c>
      <c r="H9" t="s">
        <v>72</v>
      </c>
      <c r="I9" t="s">
        <v>47</v>
      </c>
      <c r="J9" t="s">
        <v>76</v>
      </c>
      <c r="K9">
        <v>1</v>
      </c>
      <c r="L9">
        <v>1</v>
      </c>
      <c r="M9" s="13">
        <v>0.66666666666666663</v>
      </c>
      <c r="N9" t="s">
        <v>84</v>
      </c>
    </row>
    <row r="10" spans="1:14">
      <c r="A10" s="12">
        <v>8</v>
      </c>
      <c r="B10" s="12" t="s">
        <v>50</v>
      </c>
      <c r="C10" s="12" t="s">
        <v>58</v>
      </c>
      <c r="D10" t="s">
        <v>67</v>
      </c>
      <c r="E10" s="8">
        <v>45778</v>
      </c>
      <c r="F10" s="8">
        <v>45785</v>
      </c>
      <c r="G10" s="8">
        <v>45781</v>
      </c>
      <c r="H10" t="s">
        <v>69</v>
      </c>
      <c r="I10" t="s">
        <v>35</v>
      </c>
      <c r="J10" t="s">
        <v>73</v>
      </c>
      <c r="K10">
        <v>1</v>
      </c>
      <c r="L10">
        <v>1</v>
      </c>
      <c r="M10" s="13">
        <v>0.66666666666666663</v>
      </c>
      <c r="N10" t="s">
        <v>85</v>
      </c>
    </row>
    <row r="11" spans="1:14">
      <c r="A11" s="12">
        <v>9</v>
      </c>
      <c r="B11" s="12" t="s">
        <v>51</v>
      </c>
      <c r="C11" s="12" t="s">
        <v>59</v>
      </c>
      <c r="D11" t="s">
        <v>68</v>
      </c>
      <c r="E11" s="8">
        <v>45778</v>
      </c>
      <c r="F11" s="8">
        <v>45785</v>
      </c>
      <c r="G11" s="8">
        <v>45781</v>
      </c>
      <c r="H11" t="s">
        <v>70</v>
      </c>
      <c r="I11" t="s">
        <v>36</v>
      </c>
      <c r="J11" t="s">
        <v>74</v>
      </c>
      <c r="K11">
        <v>1</v>
      </c>
      <c r="L11">
        <v>1</v>
      </c>
      <c r="M11" s="13">
        <v>0.66666666666666663</v>
      </c>
      <c r="N11" t="s">
        <v>86</v>
      </c>
    </row>
  </sheetData>
  <autoFilter ref="A1:N11" xr:uid="{F8637E80-FC56-489D-B1E6-F3015109FD4A}"/>
  <mergeCells count="2">
    <mergeCell ref="B2:B3"/>
    <mergeCell ref="A2:A3"/>
  </mergeCells>
  <phoneticPr fontId="6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1781BC-183F-464B-8293-A74166F25F0F}">
  <sheetPr codeName="Sheet1"/>
  <dimension ref="A1:Q23"/>
  <sheetViews>
    <sheetView tabSelected="1" zoomScale="84" workbookViewId="0">
      <selection activeCell="B1" sqref="B1:B11"/>
    </sheetView>
  </sheetViews>
  <sheetFormatPr defaultRowHeight="13.8"/>
  <cols>
    <col min="1" max="1" width="3.09765625" bestFit="1" customWidth="1"/>
    <col min="2" max="2" width="10.69921875" bestFit="1" customWidth="1"/>
    <col min="3" max="3" width="14.5" bestFit="1" customWidth="1"/>
    <col min="4" max="4" width="16.5" style="9" bestFit="1" customWidth="1"/>
    <col min="5" max="6" width="10.09765625" bestFit="1" customWidth="1"/>
    <col min="7" max="7" width="11.8984375" bestFit="1" customWidth="1"/>
    <col min="9" max="9" width="17.5" style="6" bestFit="1" customWidth="1"/>
    <col min="10" max="10" width="17.59765625" bestFit="1" customWidth="1"/>
    <col min="11" max="11" width="13.3984375" bestFit="1" customWidth="1"/>
    <col min="12" max="12" width="15.5" bestFit="1" customWidth="1"/>
    <col min="13" max="13" width="14.5" bestFit="1" customWidth="1"/>
    <col min="14" max="14" width="21.296875" bestFit="1" customWidth="1"/>
    <col min="15" max="15" width="34.8984375" style="3" bestFit="1" customWidth="1"/>
    <col min="16" max="16" width="4" style="3" bestFit="1" customWidth="1"/>
    <col min="17" max="17" width="15" style="3" bestFit="1" customWidth="1"/>
  </cols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8</v>
      </c>
      <c r="I1" s="1" t="s">
        <v>7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4" t="s">
        <v>15</v>
      </c>
      <c r="P1" s="4" t="s">
        <v>14</v>
      </c>
      <c r="Q1" s="4" t="s">
        <v>24</v>
      </c>
    </row>
    <row r="2" spans="1:17">
      <c r="A2" s="12">
        <v>1</v>
      </c>
      <c r="B2" s="12" t="s">
        <v>28</v>
      </c>
      <c r="C2" s="12" t="s">
        <v>33</v>
      </c>
      <c r="D2" t="s">
        <v>60</v>
      </c>
      <c r="E2" s="8">
        <v>45778</v>
      </c>
      <c r="F2" s="8">
        <v>45785</v>
      </c>
      <c r="G2" s="8">
        <v>45781</v>
      </c>
      <c r="H2" t="s">
        <v>69</v>
      </c>
      <c r="I2" t="s">
        <v>35</v>
      </c>
      <c r="J2" t="s">
        <v>73</v>
      </c>
      <c r="K2">
        <v>2</v>
      </c>
      <c r="L2">
        <v>2</v>
      </c>
      <c r="M2" s="13">
        <v>0.66666666666666663</v>
      </c>
      <c r="N2" t="s">
        <v>77</v>
      </c>
      <c r="O2" s="3" t="str">
        <f>VLOOKUP(TRIM(I2),'Ful SKU'!F:G,2,0)</f>
        <v>12345FulSKU_112012031</v>
      </c>
      <c r="P2" s="3">
        <f>L2</f>
        <v>2</v>
      </c>
      <c r="Q2" s="11">
        <f>(VLOOKUP(TRIM(I2),'Ful SKU'!F:H,3,0))*P2</f>
        <v>0.36</v>
      </c>
    </row>
    <row r="3" spans="1:17">
      <c r="A3" s="5">
        <v>1</v>
      </c>
      <c r="B3" s="5" t="s">
        <v>28</v>
      </c>
      <c r="C3" s="5" t="s">
        <v>34</v>
      </c>
      <c r="D3" s="5" t="s">
        <v>60</v>
      </c>
      <c r="E3" s="7">
        <v>45778</v>
      </c>
      <c r="F3" s="7">
        <v>45785</v>
      </c>
      <c r="G3" s="7">
        <v>45781</v>
      </c>
      <c r="H3" s="5" t="s">
        <v>70</v>
      </c>
      <c r="I3" s="5" t="s">
        <v>36</v>
      </c>
      <c r="J3" s="5" t="s">
        <v>74</v>
      </c>
      <c r="K3" s="5">
        <v>1</v>
      </c>
      <c r="L3" s="5">
        <v>1</v>
      </c>
      <c r="M3" s="14">
        <v>0.66666666666666663</v>
      </c>
      <c r="N3" s="5" t="s">
        <v>78</v>
      </c>
      <c r="O3" s="3" t="str">
        <f>VLOOKUP(TRIM(I3),'Ful SKU'!F:G,2,0)</f>
        <v>12345FulSKU_112012032</v>
      </c>
      <c r="P3" s="3">
        <f t="shared" ref="P3:P11" si="0">L3</f>
        <v>1</v>
      </c>
      <c r="Q3" s="11">
        <f>(VLOOKUP(TRIM(I3),'Ful SKU'!F:H,3,0))*P3</f>
        <v>0.18</v>
      </c>
    </row>
    <row r="4" spans="1:17">
      <c r="A4" s="5">
        <v>2</v>
      </c>
      <c r="B4" s="5" t="s">
        <v>29</v>
      </c>
      <c r="C4" s="5" t="s">
        <v>52</v>
      </c>
      <c r="D4" s="5" t="s">
        <v>61</v>
      </c>
      <c r="E4" s="7">
        <v>45778</v>
      </c>
      <c r="F4" s="7">
        <v>45785</v>
      </c>
      <c r="G4" s="7">
        <v>45781</v>
      </c>
      <c r="H4" s="5" t="s">
        <v>71</v>
      </c>
      <c r="I4" s="5" t="s">
        <v>37</v>
      </c>
      <c r="J4" s="5" t="s">
        <v>75</v>
      </c>
      <c r="K4" s="5">
        <v>2</v>
      </c>
      <c r="L4" s="5">
        <v>2</v>
      </c>
      <c r="M4" s="14">
        <v>0.66666666666666663</v>
      </c>
      <c r="N4" s="5" t="s">
        <v>79</v>
      </c>
      <c r="O4" s="3" t="str">
        <f>VLOOKUP(TRIM(I4),'Ful SKU'!F:G,2,0)</f>
        <v>12345FulSKU_112012037</v>
      </c>
      <c r="P4" s="3">
        <f t="shared" si="0"/>
        <v>2</v>
      </c>
      <c r="Q4" s="11">
        <f>(VLOOKUP(TRIM(I4),'Ful SKU'!F:H,3,0))*P4</f>
        <v>0.13117500000000001</v>
      </c>
    </row>
    <row r="5" spans="1:17">
      <c r="A5">
        <v>3</v>
      </c>
      <c r="B5" t="s">
        <v>30</v>
      </c>
      <c r="C5" t="s">
        <v>53</v>
      </c>
      <c r="D5" t="s">
        <v>62</v>
      </c>
      <c r="E5" s="8">
        <v>45778</v>
      </c>
      <c r="F5" s="8">
        <v>45785</v>
      </c>
      <c r="G5" s="8">
        <v>45781</v>
      </c>
      <c r="H5" t="s">
        <v>72</v>
      </c>
      <c r="I5" t="s">
        <v>47</v>
      </c>
      <c r="J5" t="s">
        <v>76</v>
      </c>
      <c r="K5">
        <v>3</v>
      </c>
      <c r="L5">
        <v>3</v>
      </c>
      <c r="M5" s="13">
        <v>0.66666666666666663</v>
      </c>
      <c r="N5" t="s">
        <v>80</v>
      </c>
      <c r="O5" s="3" t="str">
        <f>VLOOKUP(TRIM(I5),'Ful SKU'!F:G,2,0)</f>
        <v>12345FulSKU_112012073</v>
      </c>
      <c r="P5" s="3">
        <f t="shared" si="0"/>
        <v>3</v>
      </c>
      <c r="Q5" s="11">
        <f>(VLOOKUP(TRIM(I5),'Ful SKU'!F:H,3,0))*P5</f>
        <v>0.19676250000000001</v>
      </c>
    </row>
    <row r="6" spans="1:17">
      <c r="A6">
        <v>4</v>
      </c>
      <c r="B6" t="s">
        <v>31</v>
      </c>
      <c r="C6" t="s">
        <v>54</v>
      </c>
      <c r="D6" t="s">
        <v>63</v>
      </c>
      <c r="E6" s="8">
        <v>45778</v>
      </c>
      <c r="F6" s="8">
        <v>45785</v>
      </c>
      <c r="G6" s="8">
        <v>45781</v>
      </c>
      <c r="H6" t="s">
        <v>69</v>
      </c>
      <c r="I6" t="s">
        <v>35</v>
      </c>
      <c r="J6" t="s">
        <v>73</v>
      </c>
      <c r="K6">
        <v>1</v>
      </c>
      <c r="L6">
        <v>1</v>
      </c>
      <c r="M6" s="13">
        <v>0.66666666666666663</v>
      </c>
      <c r="N6" t="s">
        <v>81</v>
      </c>
      <c r="O6" s="3" t="str">
        <f>VLOOKUP(TRIM(I6),'Ful SKU'!F:G,2,0)</f>
        <v>12345FulSKU_112012031</v>
      </c>
      <c r="P6" s="3">
        <f t="shared" si="0"/>
        <v>1</v>
      </c>
      <c r="Q6" s="11">
        <f>(VLOOKUP(TRIM(I6),'Ful SKU'!F:H,3,0))*P6</f>
        <v>0.18</v>
      </c>
    </row>
    <row r="7" spans="1:17">
      <c r="A7">
        <v>5</v>
      </c>
      <c r="B7" t="s">
        <v>32</v>
      </c>
      <c r="C7" t="s">
        <v>55</v>
      </c>
      <c r="D7" t="s">
        <v>64</v>
      </c>
      <c r="E7" s="8">
        <v>45778</v>
      </c>
      <c r="F7" s="8">
        <v>45785</v>
      </c>
      <c r="G7" s="8">
        <v>45781</v>
      </c>
      <c r="H7" t="s">
        <v>70</v>
      </c>
      <c r="I7" t="s">
        <v>36</v>
      </c>
      <c r="J7" t="s">
        <v>74</v>
      </c>
      <c r="K7">
        <v>2</v>
      </c>
      <c r="L7">
        <v>2</v>
      </c>
      <c r="M7" s="13">
        <v>0.66666666666666663</v>
      </c>
      <c r="N7" t="s">
        <v>82</v>
      </c>
      <c r="O7" s="3" t="str">
        <f>VLOOKUP(TRIM(I7),'Ful SKU'!F:G,2,0)</f>
        <v>12345FulSKU_112012032</v>
      </c>
      <c r="P7" s="3">
        <f t="shared" si="0"/>
        <v>2</v>
      </c>
      <c r="Q7" s="11">
        <f>(VLOOKUP(TRIM(I7),'Ful SKU'!F:H,3,0))*P7</f>
        <v>0.36</v>
      </c>
    </row>
    <row r="8" spans="1:17">
      <c r="A8">
        <v>6</v>
      </c>
      <c r="B8" t="s">
        <v>48</v>
      </c>
      <c r="C8" t="s">
        <v>56</v>
      </c>
      <c r="D8" t="s">
        <v>65</v>
      </c>
      <c r="E8" s="8">
        <v>45778</v>
      </c>
      <c r="F8" s="8">
        <v>45785</v>
      </c>
      <c r="G8" s="8">
        <v>45781</v>
      </c>
      <c r="H8" t="s">
        <v>71</v>
      </c>
      <c r="I8" t="s">
        <v>37</v>
      </c>
      <c r="J8" t="s">
        <v>75</v>
      </c>
      <c r="K8">
        <v>2</v>
      </c>
      <c r="L8">
        <v>2</v>
      </c>
      <c r="M8" s="13">
        <v>0.66666666666666663</v>
      </c>
      <c r="N8" t="s">
        <v>83</v>
      </c>
      <c r="O8" s="3" t="str">
        <f>VLOOKUP(TRIM(I8),'Ful SKU'!F:G,2,0)</f>
        <v>12345FulSKU_112012037</v>
      </c>
      <c r="P8" s="3">
        <f t="shared" si="0"/>
        <v>2</v>
      </c>
      <c r="Q8" s="11">
        <f>(VLOOKUP(TRIM(I8),'Ful SKU'!F:H,3,0))*P8</f>
        <v>0.13117500000000001</v>
      </c>
    </row>
    <row r="9" spans="1:17">
      <c r="A9">
        <v>7</v>
      </c>
      <c r="B9" t="s">
        <v>49</v>
      </c>
      <c r="C9" t="s">
        <v>57</v>
      </c>
      <c r="D9" t="s">
        <v>66</v>
      </c>
      <c r="E9" s="8">
        <v>45778</v>
      </c>
      <c r="F9" s="8">
        <v>45785</v>
      </c>
      <c r="G9" s="8">
        <v>45781</v>
      </c>
      <c r="H9" t="s">
        <v>72</v>
      </c>
      <c r="I9" t="s">
        <v>47</v>
      </c>
      <c r="J9" t="s">
        <v>76</v>
      </c>
      <c r="K9">
        <v>1</v>
      </c>
      <c r="L9">
        <v>1</v>
      </c>
      <c r="M9" s="13">
        <v>0.66666666666666663</v>
      </c>
      <c r="N9" t="s">
        <v>84</v>
      </c>
      <c r="O9" s="3" t="str">
        <f>VLOOKUP(TRIM(I9),'Ful SKU'!F:G,2,0)</f>
        <v>12345FulSKU_112012073</v>
      </c>
      <c r="P9" s="3">
        <f t="shared" si="0"/>
        <v>1</v>
      </c>
      <c r="Q9" s="11">
        <f>(VLOOKUP(TRIM(I9),'Ful SKU'!F:H,3,0))*P9</f>
        <v>6.5587500000000007E-2</v>
      </c>
    </row>
    <row r="10" spans="1:17">
      <c r="A10">
        <v>8</v>
      </c>
      <c r="B10" t="s">
        <v>50</v>
      </c>
      <c r="C10" t="s">
        <v>58</v>
      </c>
      <c r="D10" t="s">
        <v>67</v>
      </c>
      <c r="E10" s="8">
        <v>45778</v>
      </c>
      <c r="F10" s="8">
        <v>45785</v>
      </c>
      <c r="G10" s="8">
        <v>45781</v>
      </c>
      <c r="H10" t="s">
        <v>69</v>
      </c>
      <c r="I10" t="s">
        <v>35</v>
      </c>
      <c r="J10" t="s">
        <v>73</v>
      </c>
      <c r="K10">
        <v>1</v>
      </c>
      <c r="L10">
        <v>1</v>
      </c>
      <c r="M10" s="13">
        <v>0.66666666666666663</v>
      </c>
      <c r="N10" t="s">
        <v>85</v>
      </c>
      <c r="O10" s="3" t="str">
        <f>VLOOKUP(TRIM(I10),'Ful SKU'!F:G,2,0)</f>
        <v>12345FulSKU_112012031</v>
      </c>
      <c r="P10" s="3">
        <f t="shared" si="0"/>
        <v>1</v>
      </c>
      <c r="Q10" s="11">
        <f>(VLOOKUP(TRIM(I10),'Ful SKU'!F:H,3,0))*P10</f>
        <v>0.18</v>
      </c>
    </row>
    <row r="11" spans="1:17">
      <c r="A11">
        <v>9</v>
      </c>
      <c r="B11" t="s">
        <v>51</v>
      </c>
      <c r="C11" t="s">
        <v>59</v>
      </c>
      <c r="D11" t="s">
        <v>68</v>
      </c>
      <c r="E11" s="8">
        <v>45778</v>
      </c>
      <c r="F11" s="8">
        <v>45785</v>
      </c>
      <c r="G11" s="8">
        <v>45781</v>
      </c>
      <c r="H11" t="s">
        <v>70</v>
      </c>
      <c r="I11" t="s">
        <v>36</v>
      </c>
      <c r="J11" t="s">
        <v>74</v>
      </c>
      <c r="K11">
        <v>1</v>
      </c>
      <c r="L11">
        <v>1</v>
      </c>
      <c r="M11" s="13">
        <v>0.66666666666666663</v>
      </c>
      <c r="N11" t="s">
        <v>86</v>
      </c>
      <c r="O11" s="3" t="str">
        <f>VLOOKUP(TRIM(I11),'Ful SKU'!F:G,2,0)</f>
        <v>12345FulSKU_112012032</v>
      </c>
      <c r="P11" s="3">
        <f t="shared" si="0"/>
        <v>1</v>
      </c>
      <c r="Q11" s="11">
        <f>(VLOOKUP(TRIM(I11),'Ful SKU'!F:H,3,0))*P11</f>
        <v>0.18</v>
      </c>
    </row>
    <row r="12" spans="1:17">
      <c r="D12"/>
      <c r="I12"/>
    </row>
    <row r="13" spans="1:17">
      <c r="D13"/>
      <c r="I13"/>
    </row>
    <row r="14" spans="1:17">
      <c r="D14"/>
      <c r="I14"/>
    </row>
    <row r="15" spans="1:17">
      <c r="D15"/>
      <c r="I15"/>
    </row>
    <row r="16" spans="1:17">
      <c r="D16"/>
      <c r="I16"/>
    </row>
    <row r="17" spans="4:9">
      <c r="D17"/>
      <c r="I17"/>
    </row>
    <row r="18" spans="4:9">
      <c r="D18"/>
      <c r="I18"/>
    </row>
    <row r="19" spans="4:9">
      <c r="D19"/>
      <c r="I19"/>
    </row>
    <row r="20" spans="4:9">
      <c r="D20"/>
      <c r="I20"/>
    </row>
    <row r="21" spans="4:9">
      <c r="D21"/>
      <c r="I21"/>
    </row>
    <row r="22" spans="4:9">
      <c r="D22"/>
      <c r="I22"/>
    </row>
    <row r="23" spans="4:9">
      <c r="D23"/>
      <c r="I23"/>
    </row>
  </sheetData>
  <pageMargins left="0.7" right="0.7" top="0.75" bottom="0.75" header="0.3" footer="0.3"/>
  <pageSetup orientation="portrait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26" r:id="rId4" name="Button 2">
              <controlPr defaultSize="0" print="0" autoFill="0" autoPict="0" macro="[0]!OOoujib2b">
                <anchor moveWithCells="1" sizeWithCells="1">
                  <from>
                    <xdr:col>19</xdr:col>
                    <xdr:colOff>7620</xdr:colOff>
                    <xdr:row>2</xdr:row>
                    <xdr:rowOff>0</xdr:rowOff>
                  </from>
                  <to>
                    <xdr:col>23</xdr:col>
                    <xdr:colOff>7620</xdr:colOff>
                    <xdr:row>8</xdr:row>
                    <xdr:rowOff>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8E92CC-E0C3-4FCF-A334-F15F3044F4D8}">
  <sheetPr codeName="Sheet2"/>
  <dimension ref="A1:H14"/>
  <sheetViews>
    <sheetView workbookViewId="0">
      <selection activeCell="H1" sqref="H1"/>
    </sheetView>
  </sheetViews>
  <sheetFormatPr defaultRowHeight="13.8"/>
  <cols>
    <col min="1" max="1" width="35.8984375" style="3" bestFit="1" customWidth="1"/>
    <col min="2" max="2" width="17.796875" style="10" customWidth="1"/>
    <col min="3" max="5" width="8.796875" style="3"/>
    <col min="6" max="6" width="9.8984375" style="3" bestFit="1" customWidth="1"/>
    <col min="7" max="7" width="22.3984375" style="3" bestFit="1" customWidth="1"/>
    <col min="8" max="8" width="8.796875" style="3"/>
  </cols>
  <sheetData>
    <row r="1" spans="1:8">
      <c r="A1" s="3" t="s">
        <v>15</v>
      </c>
      <c r="B1" s="10" t="s">
        <v>23</v>
      </c>
      <c r="C1" s="3" t="s">
        <v>16</v>
      </c>
      <c r="D1" s="3" t="s">
        <v>17</v>
      </c>
      <c r="E1" s="3" t="s">
        <v>18</v>
      </c>
      <c r="F1" s="3" t="s">
        <v>7</v>
      </c>
      <c r="G1" s="3" t="s">
        <v>22</v>
      </c>
      <c r="H1" s="3" t="s">
        <v>24</v>
      </c>
    </row>
    <row r="2" spans="1:8">
      <c r="A2" s="3" t="str">
        <f t="shared" ref="A2:A14" si="0">"12345FulSKU_"&amp;B2</f>
        <v>12345FulSKU_112012031</v>
      </c>
      <c r="B2" s="10" t="s">
        <v>35</v>
      </c>
      <c r="C2" s="3" t="s">
        <v>25</v>
      </c>
      <c r="D2" s="3" t="s">
        <v>26</v>
      </c>
      <c r="E2" s="3" t="s">
        <v>27</v>
      </c>
      <c r="F2" s="10" t="str">
        <f t="shared" ref="F2:F14" si="1">B2</f>
        <v>112012031</v>
      </c>
      <c r="G2" s="3" t="str">
        <f t="shared" ref="G2:G14" si="2">A2</f>
        <v>12345FulSKU_112012031</v>
      </c>
      <c r="H2" s="3">
        <f t="shared" ref="H2:H14" si="3">(C2*D2*E2)/1000000</f>
        <v>0.18</v>
      </c>
    </row>
    <row r="3" spans="1:8">
      <c r="A3" s="3" t="str">
        <f t="shared" si="0"/>
        <v>12345FulSKU_112012032</v>
      </c>
      <c r="B3" s="10" t="s">
        <v>36</v>
      </c>
      <c r="C3" s="3" t="s">
        <v>25</v>
      </c>
      <c r="D3" s="3" t="s">
        <v>26</v>
      </c>
      <c r="E3" s="3" t="s">
        <v>27</v>
      </c>
      <c r="F3" s="10" t="str">
        <f t="shared" si="1"/>
        <v>112012032</v>
      </c>
      <c r="G3" s="3" t="str">
        <f t="shared" si="2"/>
        <v>12345FulSKU_112012032</v>
      </c>
      <c r="H3" s="3">
        <f t="shared" si="3"/>
        <v>0.18</v>
      </c>
    </row>
    <row r="4" spans="1:8">
      <c r="A4" s="3" t="str">
        <f t="shared" si="0"/>
        <v>12345FulSKU_112012048</v>
      </c>
      <c r="B4" s="10" t="s">
        <v>39</v>
      </c>
      <c r="C4" s="3" t="s">
        <v>25</v>
      </c>
      <c r="D4" s="3" t="s">
        <v>26</v>
      </c>
      <c r="E4" s="3" t="s">
        <v>27</v>
      </c>
      <c r="F4" s="10" t="str">
        <f t="shared" si="1"/>
        <v>112012048</v>
      </c>
      <c r="G4" s="3" t="str">
        <f t="shared" si="2"/>
        <v>12345FulSKU_112012048</v>
      </c>
      <c r="H4" s="3">
        <f t="shared" si="3"/>
        <v>0.18</v>
      </c>
    </row>
    <row r="5" spans="1:8">
      <c r="A5" s="3" t="str">
        <f t="shared" si="0"/>
        <v>12345FulSKU_112012050</v>
      </c>
      <c r="B5" s="10" t="s">
        <v>40</v>
      </c>
      <c r="C5" s="3" t="s">
        <v>25</v>
      </c>
      <c r="D5" s="3" t="s">
        <v>26</v>
      </c>
      <c r="E5" s="3" t="s">
        <v>27</v>
      </c>
      <c r="F5" s="10" t="str">
        <f t="shared" si="1"/>
        <v>112012050</v>
      </c>
      <c r="G5" s="3" t="str">
        <f t="shared" si="2"/>
        <v>12345FulSKU_112012050</v>
      </c>
      <c r="H5" s="3">
        <f t="shared" si="3"/>
        <v>0.18</v>
      </c>
    </row>
    <row r="6" spans="1:8">
      <c r="A6" s="3" t="str">
        <f t="shared" si="0"/>
        <v>12345FulSKU_112012057</v>
      </c>
      <c r="B6" s="10" t="s">
        <v>42</v>
      </c>
      <c r="C6" s="3" t="s">
        <v>25</v>
      </c>
      <c r="D6" s="3" t="s">
        <v>26</v>
      </c>
      <c r="E6" s="3" t="s">
        <v>27</v>
      </c>
      <c r="F6" s="10" t="str">
        <f t="shared" si="1"/>
        <v>112012057</v>
      </c>
      <c r="G6" s="3" t="str">
        <f t="shared" si="2"/>
        <v>12345FulSKU_112012057</v>
      </c>
      <c r="H6" s="3">
        <f t="shared" si="3"/>
        <v>0.18</v>
      </c>
    </row>
    <row r="7" spans="1:8">
      <c r="A7" s="3" t="str">
        <f t="shared" si="0"/>
        <v>12345FulSKU_112012058</v>
      </c>
      <c r="B7" s="10" t="s">
        <v>43</v>
      </c>
      <c r="C7" s="3" t="s">
        <v>25</v>
      </c>
      <c r="D7" s="3" t="s">
        <v>26</v>
      </c>
      <c r="E7" s="3" t="s">
        <v>27</v>
      </c>
      <c r="F7" s="10" t="str">
        <f t="shared" si="1"/>
        <v>112012058</v>
      </c>
      <c r="G7" s="3" t="str">
        <f t="shared" si="2"/>
        <v>12345FulSKU_112012058</v>
      </c>
      <c r="H7" s="3">
        <f t="shared" si="3"/>
        <v>0.18</v>
      </c>
    </row>
    <row r="8" spans="1:8">
      <c r="A8" s="3" t="str">
        <f t="shared" si="0"/>
        <v>12345FulSKU_112012066</v>
      </c>
      <c r="B8" s="10" t="s">
        <v>45</v>
      </c>
      <c r="C8" s="3" t="s">
        <v>25</v>
      </c>
      <c r="D8" s="3" t="s">
        <v>26</v>
      </c>
      <c r="E8" s="3" t="s">
        <v>27</v>
      </c>
      <c r="F8" s="10" t="str">
        <f t="shared" si="1"/>
        <v>112012066</v>
      </c>
      <c r="G8" s="3" t="str">
        <f t="shared" si="2"/>
        <v>12345FulSKU_112012066</v>
      </c>
      <c r="H8" s="3">
        <f t="shared" si="3"/>
        <v>0.18</v>
      </c>
    </row>
    <row r="9" spans="1:8">
      <c r="A9" s="3" t="str">
        <f t="shared" si="0"/>
        <v>12345FulSKU_112012037</v>
      </c>
      <c r="B9" s="10" t="s">
        <v>37</v>
      </c>
      <c r="C9" s="3" t="s">
        <v>19</v>
      </c>
      <c r="D9" s="3" t="s">
        <v>20</v>
      </c>
      <c r="E9" s="3" t="s">
        <v>21</v>
      </c>
      <c r="F9" s="10" t="str">
        <f t="shared" si="1"/>
        <v>112012037</v>
      </c>
      <c r="G9" s="3" t="str">
        <f t="shared" si="2"/>
        <v>12345FulSKU_112012037</v>
      </c>
      <c r="H9" s="3">
        <f t="shared" si="3"/>
        <v>6.5587500000000007E-2</v>
      </c>
    </row>
    <row r="10" spans="1:8">
      <c r="A10" s="3" t="str">
        <f t="shared" si="0"/>
        <v>12345FulSKU_112012043</v>
      </c>
      <c r="B10" s="10" t="s">
        <v>38</v>
      </c>
      <c r="C10" s="3" t="s">
        <v>19</v>
      </c>
      <c r="D10" s="3" t="s">
        <v>20</v>
      </c>
      <c r="E10" s="3" t="s">
        <v>21</v>
      </c>
      <c r="F10" s="10" t="str">
        <f t="shared" si="1"/>
        <v>112012043</v>
      </c>
      <c r="G10" s="3" t="str">
        <f t="shared" si="2"/>
        <v>12345FulSKU_112012043</v>
      </c>
      <c r="H10" s="3">
        <f t="shared" si="3"/>
        <v>6.5587500000000007E-2</v>
      </c>
    </row>
    <row r="11" spans="1:8">
      <c r="A11" s="3" t="str">
        <f t="shared" si="0"/>
        <v>12345FulSKU_112012055</v>
      </c>
      <c r="B11" s="10" t="s">
        <v>41</v>
      </c>
      <c r="C11" s="3" t="s">
        <v>19</v>
      </c>
      <c r="D11" s="3" t="s">
        <v>20</v>
      </c>
      <c r="E11" s="3" t="s">
        <v>21</v>
      </c>
      <c r="F11" s="10" t="str">
        <f t="shared" si="1"/>
        <v>112012055</v>
      </c>
      <c r="G11" s="3" t="str">
        <f t="shared" si="2"/>
        <v>12345FulSKU_112012055</v>
      </c>
      <c r="H11" s="3">
        <f t="shared" si="3"/>
        <v>6.5587500000000007E-2</v>
      </c>
    </row>
    <row r="12" spans="1:8">
      <c r="A12" s="3" t="str">
        <f t="shared" si="0"/>
        <v>12345FulSKU_112012062</v>
      </c>
      <c r="B12" s="10" t="s">
        <v>44</v>
      </c>
      <c r="C12" s="3" t="s">
        <v>19</v>
      </c>
      <c r="D12" s="3" t="s">
        <v>20</v>
      </c>
      <c r="E12" s="3" t="s">
        <v>21</v>
      </c>
      <c r="F12" s="10" t="str">
        <f t="shared" si="1"/>
        <v>112012062</v>
      </c>
      <c r="G12" s="3" t="str">
        <f t="shared" si="2"/>
        <v>12345FulSKU_112012062</v>
      </c>
      <c r="H12" s="3">
        <f t="shared" si="3"/>
        <v>6.5587500000000007E-2</v>
      </c>
    </row>
    <row r="13" spans="1:8">
      <c r="A13" s="3" t="str">
        <f t="shared" si="0"/>
        <v>12345FulSKU_112012069</v>
      </c>
      <c r="B13" s="10" t="s">
        <v>46</v>
      </c>
      <c r="C13" s="3" t="s">
        <v>19</v>
      </c>
      <c r="D13" s="3" t="s">
        <v>20</v>
      </c>
      <c r="E13" s="3" t="s">
        <v>21</v>
      </c>
      <c r="F13" s="10" t="str">
        <f t="shared" si="1"/>
        <v>112012069</v>
      </c>
      <c r="G13" s="3" t="str">
        <f t="shared" si="2"/>
        <v>12345FulSKU_112012069</v>
      </c>
      <c r="H13" s="3">
        <f t="shared" si="3"/>
        <v>6.5587500000000007E-2</v>
      </c>
    </row>
    <row r="14" spans="1:8">
      <c r="A14" s="3" t="str">
        <f t="shared" si="0"/>
        <v>12345FulSKU_112012073</v>
      </c>
      <c r="B14" s="10" t="s">
        <v>47</v>
      </c>
      <c r="C14" s="3" t="s">
        <v>19</v>
      </c>
      <c r="D14" s="3" t="s">
        <v>20</v>
      </c>
      <c r="E14" s="3" t="s">
        <v>21</v>
      </c>
      <c r="F14" s="10" t="str">
        <f t="shared" si="1"/>
        <v>112012073</v>
      </c>
      <c r="G14" s="3" t="str">
        <f t="shared" si="2"/>
        <v>12345FulSKU_112012073</v>
      </c>
      <c r="H14" s="3">
        <f t="shared" si="3"/>
        <v>6.5587500000000007E-2</v>
      </c>
    </row>
  </sheetData>
  <phoneticPr fontId="6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PO File</vt:lpstr>
      <vt:lpstr>Raw</vt:lpstr>
      <vt:lpstr>Ful SKU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Muhammad Farid</dc:creator>
  <cp:lastModifiedBy>lazada</cp:lastModifiedBy>
  <dcterms:created xsi:type="dcterms:W3CDTF">2024-12-06T09:18:21Z</dcterms:created>
  <dcterms:modified xsi:type="dcterms:W3CDTF">2025-05-01T04:21:22Z</dcterms:modified>
</cp:coreProperties>
</file>